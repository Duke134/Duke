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" sheetId="1" state="visible" r:id="rId1"/>
    <sheet xmlns:r="http://schemas.openxmlformats.org/officeDocument/2006/relationships" name="런웨이" sheetId="2" state="visible" r:id="rId2"/>
    <sheet xmlns:r="http://schemas.openxmlformats.org/officeDocument/2006/relationships" name="급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3" fontId="0" fillId="0" borderId="0" pivotButton="0" quotePrefix="0" xfId="0"/>
    <xf numFmtId="165" fontId="0" fillId="0" borderId="0" pivotButton="0" quotePrefix="0" xfId="0"/>
    <xf numFmtId="3" fontId="0" fillId="2" borderId="0" pivotButton="0" quotePrefix="0" xfId="0"/>
    <xf numFmtId="166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메모</t>
        </is>
      </c>
    </row>
    <row r="2">
      <c r="A2" t="inlineStr">
        <is>
          <t>기초현금(2026-10말)</t>
        </is>
      </c>
      <c r="B2" s="2" t="n">
        <v>1200000000</v>
      </c>
      <c r="C2" t="inlineStr">
        <is>
          <t>가상 숫자</t>
        </is>
      </c>
    </row>
    <row r="3">
      <c r="A3" t="inlineStr">
        <is>
          <t>월 매출</t>
        </is>
      </c>
      <c r="B3" s="2" t="n">
        <v>60000000</v>
      </c>
      <c r="C3" t="inlineStr">
        <is>
          <t>가상 숫자</t>
        </is>
      </c>
    </row>
    <row r="4">
      <c r="A4" t="inlineStr">
        <is>
          <t>월 인건비</t>
        </is>
      </c>
      <c r="B4" s="2" t="n">
        <v>85000000</v>
      </c>
      <c r="C4" t="inlineStr">
        <is>
          <t>가상 숫자</t>
        </is>
      </c>
    </row>
    <row r="5">
      <c r="A5" t="inlineStr">
        <is>
          <t>월 임차료</t>
        </is>
      </c>
      <c r="B5" s="2" t="n">
        <v>12000000</v>
      </c>
      <c r="C5" t="inlineStr">
        <is>
          <t>가상 숫자</t>
        </is>
      </c>
    </row>
    <row r="6">
      <c r="A6" t="inlineStr">
        <is>
          <t>월 기타비용</t>
        </is>
      </c>
      <c r="B6" s="2" t="n">
        <v>18000000</v>
      </c>
      <c r="C6" t="inlineStr">
        <is>
          <t>가상 숫자</t>
        </is>
      </c>
    </row>
    <row r="7">
      <c r="A7" t="inlineStr">
        <is>
          <t>월 매출 성장률</t>
        </is>
      </c>
      <c r="B7" s="3" t="n">
        <v>0.03</v>
      </c>
      <c r="C7" t="inlineStr">
        <is>
          <t>가정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2" customWidth="1" min="10" max="10"/>
    <col width="15" customWidth="1" min="11" max="11"/>
  </cols>
  <sheetData>
    <row r="1">
      <c r="A1" s="1" t="inlineStr">
        <is>
          <t>월</t>
        </is>
      </c>
      <c r="B1" s="1" t="inlineStr">
        <is>
          <t>기초현금</t>
        </is>
      </c>
      <c r="C1" s="1" t="inlineStr">
        <is>
          <t>매출</t>
        </is>
      </c>
      <c r="D1" s="1" t="inlineStr">
        <is>
          <t>인건비</t>
        </is>
      </c>
      <c r="E1" s="1" t="inlineStr">
        <is>
          <t>임차료</t>
        </is>
      </c>
      <c r="F1" s="1" t="inlineStr">
        <is>
          <t>기타비용</t>
        </is>
      </c>
      <c r="G1" s="1" t="inlineStr">
        <is>
          <t>순현금흐름</t>
        </is>
      </c>
      <c r="H1" s="1" t="inlineStr">
        <is>
          <t>기말현금</t>
        </is>
      </c>
      <c r="J1" s="1" t="inlineStr">
        <is>
          <t>요약</t>
        </is>
      </c>
    </row>
    <row r="2">
      <c r="A2" t="inlineStr">
        <is>
          <t>2026-11</t>
        </is>
      </c>
      <c r="B2" s="4">
        <f>입력!$B$2</f>
        <v/>
      </c>
      <c r="C2" s="4">
        <f>입력!$B$3</f>
        <v/>
      </c>
      <c r="D2" s="4">
        <f>입력!$B$4</f>
        <v/>
      </c>
      <c r="E2" s="4">
        <f>입력!$B$5</f>
        <v/>
      </c>
      <c r="F2" s="4">
        <f>입력!$B$6</f>
        <v/>
      </c>
      <c r="G2" s="4">
        <f>C2-D2-E2-F2</f>
        <v/>
      </c>
      <c r="H2" s="4">
        <f>B2+G2</f>
        <v/>
      </c>
      <c r="J2" t="inlineStr">
        <is>
          <t>평균 월 순현금흐름</t>
        </is>
      </c>
      <c r="K2" s="4">
        <f>AVERAGE(G2:G13)</f>
        <v/>
      </c>
    </row>
    <row r="3">
      <c r="A3" t="inlineStr">
        <is>
          <t>2026-12</t>
        </is>
      </c>
      <c r="B3" s="4">
        <f>H2</f>
        <v/>
      </c>
      <c r="C3" s="4">
        <f>C2*(1+입력!$B$7)</f>
        <v/>
      </c>
      <c r="D3" s="4">
        <f>입력!$B$4</f>
        <v/>
      </c>
      <c r="E3" s="4">
        <f>입력!$B$5</f>
        <v/>
      </c>
      <c r="F3" s="4">
        <f>입력!$B$6</f>
        <v/>
      </c>
      <c r="G3" s="4">
        <f>C3-D3-E3-F3</f>
        <v/>
      </c>
      <c r="H3" s="4">
        <f>B3+G3</f>
        <v/>
      </c>
      <c r="J3" t="inlineStr">
        <is>
          <t>런웨이(개월, 기초현금/평균소진)</t>
        </is>
      </c>
      <c r="K3" s="5">
        <f>IF(K2&lt;0,입력!B2/ABS(K2),"흑자")</f>
        <v/>
      </c>
    </row>
    <row r="4">
      <c r="A4" t="inlineStr">
        <is>
          <t>2027-01</t>
        </is>
      </c>
      <c r="B4" s="4">
        <f>H3</f>
        <v/>
      </c>
      <c r="C4" s="4">
        <f>C3*(1+입력!$B$7)</f>
        <v/>
      </c>
      <c r="D4" s="4">
        <f>입력!$B$4</f>
        <v/>
      </c>
      <c r="E4" s="4">
        <f>입력!$B$5</f>
        <v/>
      </c>
      <c r="F4" s="4">
        <f>입력!$B$6</f>
        <v/>
      </c>
      <c r="G4" s="4">
        <f>C4-D4-E4-F4</f>
        <v/>
      </c>
      <c r="H4" s="4">
        <f>B4+G4</f>
        <v/>
      </c>
      <c r="J4" t="inlineStr">
        <is>
          <t>12개월 내 현금 플러스 유지 월수</t>
        </is>
      </c>
      <c r="K4">
        <f>COUNTIF(H2:H13,"&gt;0")</f>
        <v/>
      </c>
    </row>
    <row r="5">
      <c r="A5" t="inlineStr">
        <is>
          <t>2027-02</t>
        </is>
      </c>
      <c r="B5" s="4">
        <f>H4</f>
        <v/>
      </c>
      <c r="C5" s="4">
        <f>C4*(1+입력!$B$7)</f>
        <v/>
      </c>
      <c r="D5" s="4">
        <f>입력!$B$4</f>
        <v/>
      </c>
      <c r="E5" s="4">
        <f>입력!$B$5</f>
        <v/>
      </c>
      <c r="F5" s="4">
        <f>입력!$B$6</f>
        <v/>
      </c>
      <c r="G5" s="4">
        <f>C5-D5-E5-F5</f>
        <v/>
      </c>
      <c r="H5" s="4">
        <f>B5+G5</f>
        <v/>
      </c>
    </row>
    <row r="6">
      <c r="A6" t="inlineStr">
        <is>
          <t>2027-03</t>
        </is>
      </c>
      <c r="B6" s="4">
        <f>H5</f>
        <v/>
      </c>
      <c r="C6" s="4">
        <f>C5*(1+입력!$B$7)</f>
        <v/>
      </c>
      <c r="D6" s="4">
        <f>입력!$B$4</f>
        <v/>
      </c>
      <c r="E6" s="4">
        <f>입력!$B$5</f>
        <v/>
      </c>
      <c r="F6" s="4">
        <f>입력!$B$6</f>
        <v/>
      </c>
      <c r="G6" s="4">
        <f>C6-D6-E6-F6</f>
        <v/>
      </c>
      <c r="H6" s="4">
        <f>B6+G6</f>
        <v/>
      </c>
    </row>
    <row r="7">
      <c r="A7" t="inlineStr">
        <is>
          <t>2027-04</t>
        </is>
      </c>
      <c r="B7" s="4">
        <f>H6</f>
        <v/>
      </c>
      <c r="C7" s="4">
        <f>C6*(1+입력!$B$7)</f>
        <v/>
      </c>
      <c r="D7" s="4">
        <f>입력!$B$4</f>
        <v/>
      </c>
      <c r="E7" s="4">
        <f>입력!$B$5</f>
        <v/>
      </c>
      <c r="F7" s="4">
        <f>입력!$B$6</f>
        <v/>
      </c>
      <c r="G7" s="4">
        <f>C7-D7-E7-F7</f>
        <v/>
      </c>
      <c r="H7" s="4">
        <f>B7+G7</f>
        <v/>
      </c>
    </row>
    <row r="8">
      <c r="A8" t="inlineStr">
        <is>
          <t>2027-05</t>
        </is>
      </c>
      <c r="B8" s="4">
        <f>H7</f>
        <v/>
      </c>
      <c r="C8" s="4">
        <f>C7*(1+입력!$B$7)</f>
        <v/>
      </c>
      <c r="D8" s="4">
        <f>입력!$B$4</f>
        <v/>
      </c>
      <c r="E8" s="4">
        <f>입력!$B$5</f>
        <v/>
      </c>
      <c r="F8" s="4">
        <f>입력!$B$6</f>
        <v/>
      </c>
      <c r="G8" s="4">
        <f>C8-D8-E8-F8</f>
        <v/>
      </c>
      <c r="H8" s="4">
        <f>B8+G8</f>
        <v/>
      </c>
    </row>
    <row r="9">
      <c r="A9" t="inlineStr">
        <is>
          <t>2027-06</t>
        </is>
      </c>
      <c r="B9" s="4">
        <f>H8</f>
        <v/>
      </c>
      <c r="C9" s="4">
        <f>C8*(1+입력!$B$7)</f>
        <v/>
      </c>
      <c r="D9" s="4">
        <f>입력!$B$4</f>
        <v/>
      </c>
      <c r="E9" s="4">
        <f>입력!$B$5</f>
        <v/>
      </c>
      <c r="F9" s="4">
        <f>입력!$B$6</f>
        <v/>
      </c>
      <c r="G9" s="4">
        <f>C9-D9-E9-F9</f>
        <v/>
      </c>
      <c r="H9" s="4">
        <f>B9+G9</f>
        <v/>
      </c>
    </row>
    <row r="10">
      <c r="A10" t="inlineStr">
        <is>
          <t>2027-07</t>
        </is>
      </c>
      <c r="B10" s="4">
        <f>H9</f>
        <v/>
      </c>
      <c r="C10" s="4">
        <f>C9*(1+입력!$B$7)</f>
        <v/>
      </c>
      <c r="D10" s="4">
        <f>입력!$B$4</f>
        <v/>
      </c>
      <c r="E10" s="4">
        <f>입력!$B$5</f>
        <v/>
      </c>
      <c r="F10" s="4">
        <f>입력!$B$6</f>
        <v/>
      </c>
      <c r="G10" s="4">
        <f>C10-D10-E10-F10</f>
        <v/>
      </c>
      <c r="H10" s="4">
        <f>B10+G10</f>
        <v/>
      </c>
    </row>
    <row r="11">
      <c r="A11" t="inlineStr">
        <is>
          <t>2027-08</t>
        </is>
      </c>
      <c r="B11" s="4">
        <f>H10</f>
        <v/>
      </c>
      <c r="C11" s="4">
        <f>C10*(1+입력!$B$7)</f>
        <v/>
      </c>
      <c r="D11" s="4">
        <f>입력!$B$4</f>
        <v/>
      </c>
      <c r="E11" s="4">
        <f>입력!$B$5</f>
        <v/>
      </c>
      <c r="F11" s="4">
        <f>입력!$B$6</f>
        <v/>
      </c>
      <c r="G11" s="4">
        <f>C11-D11-E11-F11</f>
        <v/>
      </c>
      <c r="H11" s="4">
        <f>B11+G11</f>
        <v/>
      </c>
    </row>
    <row r="12">
      <c r="A12" t="inlineStr">
        <is>
          <t>2027-09</t>
        </is>
      </c>
      <c r="B12" s="4">
        <f>H11</f>
        <v/>
      </c>
      <c r="C12" s="4">
        <f>C11*(1+입력!$B$7)</f>
        <v/>
      </c>
      <c r="D12" s="4">
        <f>입력!$B$4</f>
        <v/>
      </c>
      <c r="E12" s="4">
        <f>입력!$B$5</f>
        <v/>
      </c>
      <c r="F12" s="4">
        <f>입력!$B$6</f>
        <v/>
      </c>
      <c r="G12" s="4">
        <f>C12-D12-E12-F12</f>
        <v/>
      </c>
      <c r="H12" s="4">
        <f>B12+G12</f>
        <v/>
      </c>
    </row>
    <row r="13">
      <c r="A13" t="inlineStr">
        <is>
          <t>2027-10</t>
        </is>
      </c>
      <c r="B13" s="4">
        <f>H12</f>
        <v/>
      </c>
      <c r="C13" s="4">
        <f>C12*(1+입력!$B$7)</f>
        <v/>
      </c>
      <c r="D13" s="4">
        <f>입력!$B$4</f>
        <v/>
      </c>
      <c r="E13" s="4">
        <f>입력!$B$5</f>
        <v/>
      </c>
      <c r="F13" s="4">
        <f>입력!$B$6</f>
        <v/>
      </c>
      <c r="G13" s="4">
        <f>C13-D13-E13-F13</f>
        <v/>
      </c>
      <c r="H13" s="4">
        <f>B13+G13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28" customWidth="1" min="6" max="6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이름</t>
        </is>
      </c>
      <c r="B1" s="1" t="inlineStr">
        <is>
          <t>기본급</t>
        </is>
      </c>
      <c r="C1" s="1" t="inlineStr">
        <is>
          <t>식대(비과세)</t>
        </is>
      </c>
      <c r="D1" s="1" t="inlineStr">
        <is>
          <t>지급총액</t>
        </is>
      </c>
      <c r="F1" s="1" t="inlineStr">
        <is>
          <t>공제 요율(가정값, 실제 적용 전 확인 필요)</t>
        </is>
      </c>
      <c r="H1" s="1" t="inlineStr">
        <is>
          <t>국민연금</t>
        </is>
      </c>
      <c r="I1" s="1" t="inlineStr">
        <is>
          <t>건강보험</t>
        </is>
      </c>
      <c r="J1" s="1" t="inlineStr">
        <is>
          <t>장기요양</t>
        </is>
      </c>
      <c r="K1" s="1" t="inlineStr">
        <is>
          <t>고용보험</t>
        </is>
      </c>
      <c r="L1" s="1" t="inlineStr">
        <is>
          <t>공제합계</t>
        </is>
      </c>
      <c r="M1" s="1" t="inlineStr">
        <is>
          <t>실지급액</t>
        </is>
      </c>
    </row>
    <row r="2">
      <c r="A2" t="inlineStr">
        <is>
          <t>직원A</t>
        </is>
      </c>
      <c r="B2" s="6" t="n">
        <v>4200000</v>
      </c>
      <c r="C2" s="6" t="n">
        <v>200000</v>
      </c>
      <c r="D2" s="4">
        <f>B2+C2</f>
        <v/>
      </c>
      <c r="F2" t="inlineStr">
        <is>
          <t>국민연금(근로자)</t>
        </is>
      </c>
      <c r="G2" s="7" t="n">
        <v>0.045</v>
      </c>
      <c r="H2" s="4">
        <f>ROUNDDOWN(B2*$G$2,-1)</f>
        <v/>
      </c>
      <c r="I2" s="4">
        <f>ROUNDDOWN(B2*$G$3,-1)</f>
        <v/>
      </c>
      <c r="J2" s="4">
        <f>ROUNDDOWN(I2*$G$4,-1)</f>
        <v/>
      </c>
      <c r="K2" s="4">
        <f>ROUNDDOWN(B2*$G$5,-1)</f>
        <v/>
      </c>
      <c r="L2" s="4">
        <f>SUM(H2:K2)</f>
        <v/>
      </c>
      <c r="M2" s="4">
        <f>D2-L2</f>
        <v/>
      </c>
    </row>
    <row r="3">
      <c r="A3" t="inlineStr">
        <is>
          <t>직원B</t>
        </is>
      </c>
      <c r="B3" s="6" t="n">
        <v>3600000</v>
      </c>
      <c r="C3" s="6" t="n">
        <v>200000</v>
      </c>
      <c r="D3" s="4">
        <f>B3+C3</f>
        <v/>
      </c>
      <c r="F3" t="inlineStr">
        <is>
          <t>건강보험(근로자)</t>
        </is>
      </c>
      <c r="G3" s="7" t="n">
        <v>0.03545</v>
      </c>
      <c r="H3" s="4">
        <f>ROUNDDOWN(B3*$G$2,-1)</f>
        <v/>
      </c>
      <c r="I3" s="4">
        <f>ROUNDDOWN(B3*$G$3,-1)</f>
        <v/>
      </c>
      <c r="J3" s="4">
        <f>ROUNDDOWN(I3*$G$4,-1)</f>
        <v/>
      </c>
      <c r="K3" s="4">
        <f>ROUNDDOWN(B3*$G$5,-1)</f>
        <v/>
      </c>
      <c r="L3" s="4">
        <f>SUM(H3:K3)</f>
        <v/>
      </c>
      <c r="M3" s="4">
        <f>D3-L3</f>
        <v/>
      </c>
    </row>
    <row r="4">
      <c r="A4" t="inlineStr">
        <is>
          <t>직원C</t>
        </is>
      </c>
      <c r="B4" s="6" t="n">
        <v>3000000</v>
      </c>
      <c r="C4" s="6" t="n">
        <v>200000</v>
      </c>
      <c r="D4" s="4">
        <f>B4+C4</f>
        <v/>
      </c>
      <c r="F4" t="inlineStr">
        <is>
          <t>장기요양(건강보험료 대비)</t>
        </is>
      </c>
      <c r="G4" s="7" t="n">
        <v>0.1295</v>
      </c>
      <c r="H4" s="4">
        <f>ROUNDDOWN(B4*$G$2,-1)</f>
        <v/>
      </c>
      <c r="I4" s="4">
        <f>ROUNDDOWN(B4*$G$3,-1)</f>
        <v/>
      </c>
      <c r="J4" s="4">
        <f>ROUNDDOWN(I4*$G$4,-1)</f>
        <v/>
      </c>
      <c r="K4" s="4">
        <f>ROUNDDOWN(B4*$G$5,-1)</f>
        <v/>
      </c>
      <c r="L4" s="4">
        <f>SUM(H4:K4)</f>
        <v/>
      </c>
      <c r="M4" s="4">
        <f>D4-L4</f>
        <v/>
      </c>
    </row>
    <row r="5">
      <c r="B5" s="4" t="n"/>
      <c r="C5" s="4" t="n"/>
      <c r="D5" s="4" t="n"/>
      <c r="F5" t="inlineStr">
        <is>
          <t>고용보험(근로자)</t>
        </is>
      </c>
      <c r="G5" s="7" t="n">
        <v>0.008999999999999999</v>
      </c>
      <c r="H5" s="4" t="n"/>
      <c r="I5" s="4" t="n"/>
      <c r="J5" s="4" t="n"/>
      <c r="K5" s="4" t="n"/>
      <c r="L5" s="4" t="n"/>
      <c r="M5" s="4" t="n"/>
    </row>
    <row r="6">
      <c r="A6" s="1" t="inlineStr">
        <is>
          <t>합계</t>
        </is>
      </c>
      <c r="B6" s="4">
        <f>SUM(B2:B4)</f>
        <v/>
      </c>
      <c r="C6" s="4">
        <f>SUM(C2:C4)</f>
        <v/>
      </c>
      <c r="D6" s="4">
        <f>SUM(D2:D4)</f>
        <v/>
      </c>
      <c r="H6" s="4">
        <f>SUM(H2:H4)</f>
        <v/>
      </c>
      <c r="I6" s="4">
        <f>SUM(I2:I4)</f>
        <v/>
      </c>
      <c r="J6" s="4">
        <f>SUM(J2:J4)</f>
        <v/>
      </c>
      <c r="K6" s="4">
        <f>SUM(K2:K4)</f>
        <v/>
      </c>
      <c r="L6" s="4">
        <f>SUM(L2:L4)</f>
        <v/>
      </c>
      <c r="M6" s="4">
        <f>SUM(M2:M4)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2026-10-27T13:53:27Z</dcterms:created>
  <dcterms:modified xmlns:dcterms="http://purl.org/dc/terms/" xmlns:xsi="http://www.w3.org/2001/XMLSchema-instance" xsi:type="dcterms:W3CDTF">2026-10-27T13:53:27Z</dcterms:modified>
</cp:coreProperties>
</file>